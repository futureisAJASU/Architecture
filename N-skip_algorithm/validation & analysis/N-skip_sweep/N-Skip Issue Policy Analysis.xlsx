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fileSharing readOnlyRecommended="1" userName="장준영" algorithmName="SHA-512" hashValue="UT/wRrOKJoy/mqoTWOXaj59gnaAReyLFYqeYIgJHyZBkfamPZhyla5xrT9YzE3tNQJSq4d+nvc+BamFFLxCLYg==" saltValue="4w2ekbgbImca5JnIIqRQdw==" spinCount="10000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yo\Desktop\"/>
    </mc:Choice>
  </mc:AlternateContent>
  <xr:revisionPtr revIDLastSave="0" documentId="8_{875F807F-6BDD-4B64-9107-E8BD7B567DFC}" xr6:coauthVersionLast="47" xr6:coauthVersionMax="47" xr10:uidLastSave="{00000000-0000-0000-0000-000000000000}"/>
  <bookViews>
    <workbookView xWindow="-108" yWindow="-108" windowWidth="23256" windowHeight="12456" xr2:uid="{5A9769AD-FB5C-4894-8E20-54FF6495C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8" i="1"/>
  <c r="E19" i="1"/>
  <c r="E20" i="1"/>
  <c r="E21" i="1"/>
  <c r="E22" i="1"/>
  <c r="D16" i="1"/>
  <c r="D17" i="1"/>
  <c r="D18" i="1"/>
  <c r="D19" i="1"/>
  <c r="D20" i="1"/>
  <c r="D21" i="1"/>
  <c r="D22" i="1"/>
  <c r="C16" i="1"/>
  <c r="C17" i="1"/>
  <c r="C18" i="1"/>
  <c r="C19" i="1"/>
  <c r="C20" i="1"/>
  <c r="C21" i="1"/>
  <c r="C22" i="1"/>
  <c r="C15" i="1"/>
  <c r="D15" i="1"/>
  <c r="E15" i="1"/>
  <c r="B16" i="1"/>
  <c r="B17" i="1"/>
  <c r="B18" i="1"/>
  <c r="B19" i="1"/>
  <c r="B20" i="1"/>
  <c r="B21" i="1"/>
  <c r="B22" i="1"/>
  <c r="B15" i="1"/>
  <c r="E4" i="1"/>
  <c r="E5" i="1"/>
  <c r="E6" i="1"/>
  <c r="E7" i="1"/>
  <c r="E8" i="1"/>
  <c r="E9" i="1"/>
  <c r="E10" i="1"/>
  <c r="E11" i="1"/>
  <c r="E3" i="1"/>
  <c r="D4" i="1"/>
  <c r="D5" i="1"/>
  <c r="D6" i="1"/>
  <c r="D7" i="1"/>
  <c r="D8" i="1"/>
  <c r="D9" i="1"/>
  <c r="D10" i="1"/>
  <c r="D11" i="1"/>
  <c r="D3" i="1"/>
  <c r="C4" i="1"/>
  <c r="C5" i="1"/>
  <c r="C6" i="1"/>
  <c r="C7" i="1"/>
  <c r="C8" i="1"/>
  <c r="C9" i="1"/>
  <c r="C10" i="1"/>
  <c r="C11" i="1"/>
  <c r="C3" i="1"/>
  <c r="B4" i="1"/>
  <c r="B5" i="1"/>
  <c r="B6" i="1"/>
  <c r="B7" i="1"/>
  <c r="B8" i="1"/>
  <c r="B9" i="1"/>
  <c r="B10" i="1"/>
  <c r="B11" i="1"/>
  <c r="B3" i="1"/>
</calcChain>
</file>

<file path=xl/sharedStrings.xml><?xml version="1.0" encoding="utf-8"?>
<sst xmlns="http://schemas.openxmlformats.org/spreadsheetml/2006/main" count="8" uniqueCount="4">
  <si>
    <t>prob_p0.1</t>
    <phoneticPr fontId="1" type="noConversion"/>
  </si>
  <si>
    <t>prob_p0.3</t>
    <phoneticPr fontId="1" type="noConversion"/>
  </si>
  <si>
    <t>prob_p0.5</t>
    <phoneticPr fontId="1" type="noConversion"/>
  </si>
  <si>
    <t>prob_p0.7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</si>
</sst>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Ready Instruction Probability vs Scan Depth (N)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68747606191123"/>
          <c:y val="9.7069317023445484E-2"/>
          <c:w val="0.79566047977216803"/>
          <c:h val="0.73422929358600819"/>
        </c:manualLayout>
      </c:layout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prob_p0.1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Sheet1!$B$3:$B$11</c:f>
              <c:numCache>
                <c:formatCode>General</c:formatCode>
                <c:ptCount val="9"/>
                <c:pt idx="0">
                  <c:v>0</c:v>
                </c:pt>
                <c:pt idx="1">
                  <c:v>9.9999999999999978E-2</c:v>
                </c:pt>
                <c:pt idx="2">
                  <c:v>0.18999999999999995</c:v>
                </c:pt>
                <c:pt idx="3">
                  <c:v>0.27099999999999991</c:v>
                </c:pt>
                <c:pt idx="4">
                  <c:v>0.34389999999999987</c:v>
                </c:pt>
                <c:pt idx="5">
                  <c:v>0.40950999999999982</c:v>
                </c:pt>
                <c:pt idx="6">
                  <c:v>0.46855899999999984</c:v>
                </c:pt>
                <c:pt idx="7">
                  <c:v>0.52170309999999986</c:v>
                </c:pt>
                <c:pt idx="8">
                  <c:v>0.56953278999999979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0-4E7F-91B1-D9DA20F7868C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prob_p0.3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Sheet1!$C$3:$C$11</c:f>
              <c:numCache>
                <c:formatCode>General</c:formatCode>
                <c:ptCount val="9"/>
                <c:pt idx="0">
                  <c:v>0</c:v>
                </c:pt>
                <c:pt idx="1">
                  <c:v>0.30000000000000004</c:v>
                </c:pt>
                <c:pt idx="2">
                  <c:v>0.51</c:v>
                </c:pt>
                <c:pt idx="3">
                  <c:v>0.65700000000000003</c:v>
                </c:pt>
                <c:pt idx="4">
                  <c:v>0.75990000000000002</c:v>
                </c:pt>
                <c:pt idx="5">
                  <c:v>0.83193000000000006</c:v>
                </c:pt>
                <c:pt idx="6">
                  <c:v>0.88235100000000011</c:v>
                </c:pt>
                <c:pt idx="7">
                  <c:v>0.91764570000000001</c:v>
                </c:pt>
                <c:pt idx="8">
                  <c:v>0.94235199000000003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0-4E7F-91B1-D9DA20F7868C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prob_p0.5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Sheet1!$A$3:$A$11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Sheet1!$D$3:$D$11</c:f>
              <c:numCache>
                <c:formatCode>General</c:formatCode>
                <c:ptCount val="9"/>
                <c:pt idx="0">
                  <c:v>0</c:v>
                </c:pt>
                <c:pt idx="1">
                  <c:v>0.5</c:v>
                </c:pt>
                <c:pt idx="2">
                  <c:v>0.75</c:v>
                </c:pt>
                <c:pt idx="3">
                  <c:v>0.875</c:v>
                </c:pt>
                <c:pt idx="4">
                  <c:v>0.9375</c:v>
                </c:pt>
                <c:pt idx="5">
                  <c:v>0.96875</c:v>
                </c:pt>
                <c:pt idx="6">
                  <c:v>0.984375</c:v>
                </c:pt>
                <c:pt idx="7">
                  <c:v>0.9921875</c:v>
                </c:pt>
                <c:pt idx="8">
                  <c:v>0.99609375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80-4E7F-91B1-D9DA20F7868C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prob_p0.7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Sheet1!$A$3:$A$11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Sheet1!$E$3:$E$11</c:f>
              <c:numCache>
                <c:formatCode>General</c:formatCode>
                <c:ptCount val="9"/>
                <c:pt idx="0">
                  <c:v>0</c:v>
                </c:pt>
                <c:pt idx="1">
                  <c:v>0.7</c:v>
                </c:pt>
                <c:pt idx="2">
                  <c:v>0.90999999999999992</c:v>
                </c:pt>
                <c:pt idx="3">
                  <c:v>0.97299999999999998</c:v>
                </c:pt>
                <c:pt idx="4">
                  <c:v>0.9919</c:v>
                </c:pt>
                <c:pt idx="5">
                  <c:v>0.99756999999999996</c:v>
                </c:pt>
                <c:pt idx="6">
                  <c:v>0.99927100000000002</c:v>
                </c:pt>
                <c:pt idx="7">
                  <c:v>0.99978129999999998</c:v>
                </c:pt>
                <c:pt idx="8">
                  <c:v>0.99993438999999995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80-4E7F-91B1-D9DA20F7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3334655"/>
        <c:axId val="1503282815"/>
      </c:lineChart>
      <c:catAx>
        <c:axId val="1503334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N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3282815"/>
        <c:crosses val="autoZero"/>
        <c:auto val="1"/>
        <c:lblAlgn val="ctr"/>
        <c:lblOffset val="100"/>
        <c:noMultiLvlLbl val="0"/>
      </c:catAx>
      <c:valAx>
        <c:axId val="150328281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probability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333465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Marginal Gain Saturation at Low Readiness (p = 0.1)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Sheet1!$B$14</c:f>
              <c:strCache>
                <c:ptCount val="1"/>
                <c:pt idx="0">
                  <c:v>prob_p0.1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Sheet1!$A$15:$A$22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Sheet1!$B$15:$B$22</c:f>
              <c:numCache>
                <c:formatCode>General</c:formatCode>
                <c:ptCount val="8"/>
                <c:pt idx="0">
                  <c:v>9.9999999999999978E-2</c:v>
                </c:pt>
                <c:pt idx="1">
                  <c:v>8.9999999999999969E-2</c:v>
                </c:pt>
                <c:pt idx="2">
                  <c:v>8.0999999999999961E-2</c:v>
                </c:pt>
                <c:pt idx="3">
                  <c:v>7.2899999999999965E-2</c:v>
                </c:pt>
                <c:pt idx="4">
                  <c:v>6.5609999999999946E-2</c:v>
                </c:pt>
                <c:pt idx="5">
                  <c:v>5.9049000000000018E-2</c:v>
                </c:pt>
                <c:pt idx="6">
                  <c:v>5.3144100000000027E-2</c:v>
                </c:pt>
                <c:pt idx="7">
                  <c:v>4.7829689999999925E-2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B-414A-98B2-3A6CBE444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402799"/>
        <c:axId val="699904479"/>
      </c:lineChart>
      <c:catAx>
        <c:axId val="79440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99904479"/>
        <c:crosses val="autoZero"/>
        <c:auto val="1"/>
        <c:lblAlgn val="ctr"/>
        <c:lblOffset val="100"/>
        <c:noMultiLvlLbl val="0"/>
      </c:catAx>
      <c:valAx>
        <c:axId val="699904479"/>
        <c:scaling>
          <c:orientation val="minMax"/>
          <c:max val="0.1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4402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331470</xdr:colOff>
      <xdr:row>0</xdr:row>
      <xdr:rowOff>53340</xdr:rowOff>
    </xdr:from>
    <xdr:to>
      <xdr:col>12</xdr:col>
      <xdr:colOff>563880</xdr:colOff>
      <xdr:row>22</xdr:row>
      <xdr:rowOff>175260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8088C89-860F-1E07-4F5E-94ECC2530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308610</xdr:colOff>
      <xdr:row>23</xdr:row>
      <xdr:rowOff>7620</xdr:rowOff>
    </xdr:from>
    <xdr:to>
      <xdr:col>5</xdr:col>
      <xdr:colOff>617220</xdr:colOff>
      <xdr:row>40</xdr:row>
      <xdr:rowOff>106680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9037E53-441F-5F34-7091-2705AB7D5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0EA4-EFD2-4303-B7A2-D300836F6133}">
  <dimension ref="A1:J22"/>
  <sheetViews>
    <sheetView tabSelected="1" workbookViewId="0">
      <selection activeCell="F5" sqref="F5"/>
    </sheetView>
  </sheetViews>
  <sheetFormatPr defaultRowHeight="17.399999999999999" x14ac:dyDescent="0.4"/>
  <cols>
    <col min="2" max="5" width="12.09765625" customWidth="1"/>
  </cols>
  <sheetData>
    <row r="1" spans="1:10" x14ac:dyDescent="0.4">
      <c r="G1" s="1"/>
      <c r="H1" s="1"/>
      <c r="I1" s="1"/>
      <c r="J1" s="1"/>
    </row>
    <row r="2" spans="1:10" x14ac:dyDescent="0.4">
      <c r="A2" s="1"/>
      <c r="B2" s="1" t="s">
        <v>0</v>
      </c>
      <c r="C2" s="1" t="s">
        <v>1</v>
      </c>
      <c r="D2" s="1" t="s">
        <v>2</v>
      </c>
      <c r="E2" s="1" t="s">
        <v>3</v>
      </c>
      <c r="F2" s="1"/>
      <c r="G2" s="1"/>
      <c r="H2" s="1"/>
      <c r="I2" s="1"/>
      <c r="J2" s="1"/>
    </row>
    <row r="3" spans="1:10" x14ac:dyDescent="0.4">
      <c r="A3" s="2">
        <v>0</v>
      </c>
      <c r="B3" s="2">
        <f t="shared" ref="B3:B11" si="0">1-(1-0.1)^$A3</f>
        <v>0</v>
      </c>
      <c r="C3" s="2">
        <f t="shared" ref="C3:C11" si="1">1-(1-0.3)^$A3</f>
        <v>0</v>
      </c>
      <c r="D3" s="2">
        <f t="shared" ref="D3:D11" si="2">1-(1-0.5)^$A3</f>
        <v>0</v>
      </c>
      <c r="E3" s="2">
        <f t="shared" ref="E3:E11" si="3">1-(1-0.7)^$A3</f>
        <v>0</v>
      </c>
      <c r="F3" s="1"/>
      <c r="G3" s="1"/>
      <c r="H3" s="1"/>
      <c r="I3" s="1"/>
      <c r="J3" s="1"/>
    </row>
    <row r="4" spans="1:10" x14ac:dyDescent="0.4">
      <c r="A4" s="2">
        <v>1</v>
      </c>
      <c r="B4" s="2">
        <f t="shared" si="0"/>
        <v>9.9999999999999978E-2</v>
      </c>
      <c r="C4" s="2">
        <f t="shared" si="1"/>
        <v>0.30000000000000004</v>
      </c>
      <c r="D4" s="2">
        <f t="shared" si="2"/>
        <v>0.5</v>
      </c>
      <c r="E4" s="2">
        <f t="shared" si="3"/>
        <v>0.7</v>
      </c>
      <c r="F4" s="1"/>
      <c r="G4" s="1"/>
      <c r="H4" s="1"/>
      <c r="I4" s="1"/>
      <c r="J4" s="1"/>
    </row>
    <row r="5" spans="1:10" x14ac:dyDescent="0.4">
      <c r="A5" s="2">
        <v>2</v>
      </c>
      <c r="B5" s="2">
        <f t="shared" si="0"/>
        <v>0.18999999999999995</v>
      </c>
      <c r="C5" s="2">
        <f t="shared" si="1"/>
        <v>0.51</v>
      </c>
      <c r="D5" s="2">
        <f t="shared" si="2"/>
        <v>0.75</v>
      </c>
      <c r="E5" s="2">
        <f t="shared" si="3"/>
        <v>0.90999999999999992</v>
      </c>
      <c r="F5" s="1"/>
      <c r="G5" s="1"/>
      <c r="H5" s="1"/>
      <c r="I5" s="1"/>
      <c r="J5" s="1"/>
    </row>
    <row r="6" spans="1:10" x14ac:dyDescent="0.4">
      <c r="A6" s="2">
        <v>3</v>
      </c>
      <c r="B6" s="2">
        <f t="shared" si="0"/>
        <v>0.27099999999999991</v>
      </c>
      <c r="C6" s="2">
        <f t="shared" si="1"/>
        <v>0.65700000000000003</v>
      </c>
      <c r="D6" s="2">
        <f t="shared" si="2"/>
        <v>0.875</v>
      </c>
      <c r="E6" s="2">
        <f t="shared" si="3"/>
        <v>0.97299999999999998</v>
      </c>
      <c r="F6" s="1"/>
      <c r="G6" s="1"/>
      <c r="H6" s="1"/>
      <c r="I6" s="1"/>
      <c r="J6" s="1"/>
    </row>
    <row r="7" spans="1:10" x14ac:dyDescent="0.4">
      <c r="A7" s="2">
        <v>4</v>
      </c>
      <c r="B7" s="2">
        <f t="shared" si="0"/>
        <v>0.34389999999999987</v>
      </c>
      <c r="C7" s="2">
        <f t="shared" si="1"/>
        <v>0.75990000000000002</v>
      </c>
      <c r="D7" s="2">
        <f t="shared" si="2"/>
        <v>0.9375</v>
      </c>
      <c r="E7" s="2">
        <f t="shared" si="3"/>
        <v>0.9919</v>
      </c>
      <c r="F7" s="1"/>
      <c r="G7" s="1"/>
      <c r="H7" s="1"/>
      <c r="I7" s="1"/>
      <c r="J7" s="1"/>
    </row>
    <row r="8" spans="1:10" x14ac:dyDescent="0.4">
      <c r="A8" s="2">
        <v>5</v>
      </c>
      <c r="B8" s="2">
        <f t="shared" si="0"/>
        <v>0.40950999999999982</v>
      </c>
      <c r="C8" s="2">
        <f t="shared" si="1"/>
        <v>0.83193000000000006</v>
      </c>
      <c r="D8" s="2">
        <f t="shared" si="2"/>
        <v>0.96875</v>
      </c>
      <c r="E8" s="2">
        <f t="shared" si="3"/>
        <v>0.99756999999999996</v>
      </c>
      <c r="F8" s="1"/>
      <c r="G8" s="1"/>
      <c r="H8" s="1"/>
      <c r="I8" s="1"/>
      <c r="J8" s="1"/>
    </row>
    <row r="9" spans="1:10" x14ac:dyDescent="0.4">
      <c r="A9" s="2">
        <v>6</v>
      </c>
      <c r="B9" s="2">
        <f t="shared" si="0"/>
        <v>0.46855899999999984</v>
      </c>
      <c r="C9" s="2">
        <f t="shared" si="1"/>
        <v>0.88235100000000011</v>
      </c>
      <c r="D9" s="2">
        <f t="shared" si="2"/>
        <v>0.984375</v>
      </c>
      <c r="E9" s="2">
        <f t="shared" si="3"/>
        <v>0.99927100000000002</v>
      </c>
      <c r="F9" s="1"/>
      <c r="G9" s="1"/>
      <c r="H9" s="1"/>
      <c r="I9" s="1"/>
      <c r="J9" s="1"/>
    </row>
    <row r="10" spans="1:10" x14ac:dyDescent="0.4">
      <c r="A10" s="2">
        <v>7</v>
      </c>
      <c r="B10" s="2">
        <f t="shared" si="0"/>
        <v>0.52170309999999986</v>
      </c>
      <c r="C10" s="2">
        <f t="shared" si="1"/>
        <v>0.91764570000000001</v>
      </c>
      <c r="D10" s="2">
        <f t="shared" si="2"/>
        <v>0.9921875</v>
      </c>
      <c r="E10" s="2">
        <f t="shared" si="3"/>
        <v>0.99978129999999998</v>
      </c>
      <c r="F10" s="1"/>
      <c r="G10" s="1"/>
      <c r="H10" s="1"/>
      <c r="I10" s="1"/>
      <c r="J10" s="1"/>
    </row>
    <row r="11" spans="1:10" x14ac:dyDescent="0.4">
      <c r="A11" s="2">
        <v>8</v>
      </c>
      <c r="B11" s="2">
        <f t="shared" si="0"/>
        <v>0.56953278999999979</v>
      </c>
      <c r="C11" s="2">
        <f t="shared" si="1"/>
        <v>0.94235199000000003</v>
      </c>
      <c r="D11" s="2">
        <f t="shared" si="2"/>
        <v>0.99609375</v>
      </c>
      <c r="E11" s="2">
        <f t="shared" si="3"/>
        <v>0.99993438999999995</v>
      </c>
      <c r="F11" s="1"/>
      <c r="G11" s="1"/>
      <c r="H11" s="1"/>
      <c r="I11" s="1"/>
      <c r="J11" s="1"/>
    </row>
    <row r="14" spans="1:10" x14ac:dyDescent="0.4">
      <c r="A14" s="1"/>
      <c r="B14" s="1" t="s">
        <v>0</v>
      </c>
      <c r="C14" s="1" t="s">
        <v>1</v>
      </c>
      <c r="D14" s="1" t="s">
        <v>2</v>
      </c>
      <c r="E14" s="1" t="s">
        <v>3</v>
      </c>
    </row>
    <row r="15" spans="1:10" x14ac:dyDescent="0.4">
      <c r="A15">
        <v>1</v>
      </c>
      <c r="B15">
        <f>B4-B3</f>
        <v>9.9999999999999978E-2</v>
      </c>
      <c r="C15">
        <f t="shared" ref="C15:E15" si="4">C4-C3</f>
        <v>0.30000000000000004</v>
      </c>
      <c r="D15">
        <f t="shared" si="4"/>
        <v>0.5</v>
      </c>
      <c r="E15">
        <f t="shared" si="4"/>
        <v>0.7</v>
      </c>
    </row>
    <row r="16" spans="1:10" x14ac:dyDescent="0.4">
      <c r="A16">
        <v>2</v>
      </c>
      <c r="B16">
        <f t="shared" ref="B16:E22" si="5">B5-B4</f>
        <v>8.9999999999999969E-2</v>
      </c>
      <c r="C16">
        <f t="shared" si="5"/>
        <v>0.20999999999999996</v>
      </c>
      <c r="D16">
        <f t="shared" si="5"/>
        <v>0.25</v>
      </c>
      <c r="E16">
        <f t="shared" si="5"/>
        <v>0.20999999999999996</v>
      </c>
    </row>
    <row r="17" spans="1:5" x14ac:dyDescent="0.4">
      <c r="A17">
        <v>3</v>
      </c>
      <c r="B17">
        <f t="shared" si="5"/>
        <v>8.0999999999999961E-2</v>
      </c>
      <c r="C17">
        <f t="shared" si="5"/>
        <v>0.14700000000000002</v>
      </c>
      <c r="D17">
        <f t="shared" si="5"/>
        <v>0.125</v>
      </c>
      <c r="E17">
        <f>E6-E5</f>
        <v>6.3000000000000056E-2</v>
      </c>
    </row>
    <row r="18" spans="1:5" x14ac:dyDescent="0.4">
      <c r="A18">
        <v>4</v>
      </c>
      <c r="B18">
        <f t="shared" si="5"/>
        <v>7.2899999999999965E-2</v>
      </c>
      <c r="C18">
        <f t="shared" si="5"/>
        <v>0.10289999999999999</v>
      </c>
      <c r="D18">
        <f t="shared" si="5"/>
        <v>6.25E-2</v>
      </c>
      <c r="E18">
        <f t="shared" si="5"/>
        <v>1.8900000000000028E-2</v>
      </c>
    </row>
    <row r="19" spans="1:5" x14ac:dyDescent="0.4">
      <c r="A19">
        <v>5</v>
      </c>
      <c r="B19">
        <f t="shared" si="5"/>
        <v>6.5609999999999946E-2</v>
      </c>
      <c r="C19">
        <f t="shared" si="5"/>
        <v>7.2030000000000038E-2</v>
      </c>
      <c r="D19">
        <f t="shared" si="5"/>
        <v>3.125E-2</v>
      </c>
      <c r="E19">
        <f t="shared" si="5"/>
        <v>5.6699999999999529E-3</v>
      </c>
    </row>
    <row r="20" spans="1:5" x14ac:dyDescent="0.4">
      <c r="A20">
        <v>6</v>
      </c>
      <c r="B20">
        <f t="shared" si="5"/>
        <v>5.9049000000000018E-2</v>
      </c>
      <c r="C20">
        <f t="shared" si="5"/>
        <v>5.0421000000000049E-2</v>
      </c>
      <c r="D20">
        <f t="shared" si="5"/>
        <v>1.5625E-2</v>
      </c>
      <c r="E20">
        <f t="shared" si="5"/>
        <v>1.7010000000000636E-3</v>
      </c>
    </row>
    <row r="21" spans="1:5" x14ac:dyDescent="0.4">
      <c r="A21">
        <v>7</v>
      </c>
      <c r="B21">
        <f t="shared" si="5"/>
        <v>5.3144100000000027E-2</v>
      </c>
      <c r="C21">
        <f t="shared" si="5"/>
        <v>3.5294699999999901E-2</v>
      </c>
      <c r="D21">
        <f t="shared" si="5"/>
        <v>7.8125E-3</v>
      </c>
      <c r="E21">
        <f t="shared" si="5"/>
        <v>5.1029999999996356E-4</v>
      </c>
    </row>
    <row r="22" spans="1:5" x14ac:dyDescent="0.4">
      <c r="A22">
        <v>8</v>
      </c>
      <c r="B22">
        <f t="shared" si="5"/>
        <v>4.7829689999999925E-2</v>
      </c>
      <c r="C22">
        <f t="shared" si="5"/>
        <v>2.470629000000002E-2</v>
      </c>
      <c r="D22">
        <f t="shared" si="5"/>
        <v>3.90625E-3</v>
      </c>
      <c r="E22">
        <f t="shared" si="5"/>
        <v>1.5308999999996686E-4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장</dc:creator>
  <cp:lastModifiedBy>준영 장</cp:lastModifiedBy>
  <dcterms:created xsi:type="dcterms:W3CDTF">2026-01-16T16:31:13Z</dcterms:created>
  <dcterms:modified xsi:type="dcterms:W3CDTF">2026-01-16T17:06:58Z</dcterms:modified>
</cp:coreProperties>
</file>